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vraj/Desktop/"/>
    </mc:Choice>
  </mc:AlternateContent>
  <xr:revisionPtr revIDLastSave="0" documentId="13_ncr:1_{736215CE-AFAA-834A-9265-D979B020AA10}" xr6:coauthVersionLast="47" xr6:coauthVersionMax="47" xr10:uidLastSave="{00000000-0000-0000-0000-000000000000}"/>
  <bookViews>
    <workbookView xWindow="39840" yWindow="1940" windowWidth="29600" windowHeight="19080" activeTab="1" xr2:uid="{99BFBD64-87E0-864C-92DC-C8E0B515FB87}"/>
  </bookViews>
  <sheets>
    <sheet name="App" sheetId="2" r:id="rId1"/>
    <sheet name="Analytics" sheetId="6" r:id="rId2"/>
    <sheet name="PatientInfo" sheetId="1" state="hidden" r:id="rId3"/>
    <sheet name="MedicalInfo" sheetId="4" state="hidden" r:id="rId4"/>
  </sheets>
  <definedNames>
    <definedName name="_xlpm.combined" hidden="1" xlm="1">#NAME?</definedName>
    <definedName name="_xlpm.ids" hidden="1" xlm="1">#NAME?</definedName>
    <definedName name="_xlpm.names" hidden="1" xlm="1">#NAME?</definedName>
    <definedName name="PatientDetails">OFFSET(PatientInfo!$I$2, 0, 0, COUNTA(PatientInfo!$I:$I)-1, 1)</definedName>
    <definedName name="PatientNames">OFFSET(PatientTable[Name],0,0,COUNTA(PatientTable[Name]),1)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F4" i="6"/>
  <c r="D2" i="6" a="1"/>
  <c r="D2" i="6" s="1"/>
  <c r="C2" i="6" a="1"/>
  <c r="C2" i="6" s="1"/>
  <c r="B2" i="6" a="1"/>
  <c r="B2" i="6" s="1"/>
  <c r="A2" i="6" a="1"/>
  <c r="A2" i="6" s="1"/>
  <c r="L1" i="2"/>
  <c r="O1" i="2" a="1"/>
  <c r="O1" i="2" s="1"/>
  <c r="I2" i="1" a="1"/>
  <c r="I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Vraj Bhatt</author>
  </authors>
  <commentList>
    <comment ref="A17" authorId="0" shapeId="0" xr:uid="{EF94256E-A3D2-3E4C-BACC-D5D1E9EFA1DB}">
      <text>
        <r>
          <rPr>
            <sz val="10"/>
            <color rgb="FF000000"/>
            <rFont val="Tahoma"/>
            <family val="2"/>
          </rPr>
          <t>=&gt; RecordID: 2025021715
_x000D_--------------
_x000D_=&gt; Date: 2025-02-25
_x000D_--------------
_x000D_=&gt; Problems:- 
_x000D_When you combine these two control characters (vbCrLf), it creates a line break (also known as a newline) that works in both Windows environments for text handling. It's equivalent to pressing Enter in a text editor.
_x000D_--------------
_x000D_=&gt; Medicines:- 
_x000D_Medicines 2 UPDATED
_x000D_--------------
_x000D_=&gt; BP: 20
_x000D_--------------
_x000D_=&gt; HR: 25
_x000D_--------------
_x000D_=&gt; Fees: 510
_x000D_--------------
_x000D_=&gt; Status: 1
_x000D_--------------
_x000D_=&gt; Notes:- 
_x000D_Notes UPDATED
_x000D_--------------</t>
        </r>
      </text>
    </comment>
    <comment ref="A18" authorId="0" shapeId="0" xr:uid="{46571D44-511D-6F47-AC39-3D48533DFDAD}">
      <text>
        <r>
          <rPr>
            <sz val="10"/>
            <color rgb="FF000000"/>
            <rFont val="Tahoma"/>
            <family val="2"/>
          </rPr>
          <t>=&gt; RecordID: 2025021714
_x000D_--------------
_x000D_=&gt; Date: 2025-02-25
_x000D_--------------
_x000D_=&gt; Problems:- 
_x000D_The Problem
_x000D_--------------
_x000D_=&gt; Medicines:- 
_x000D_Medicines
_x000D_--------------
_x000D_=&gt; BP: 12
_x000D_--------------
_x000D_=&gt; HR: 13
_x000D_--------------
_x000D_=&gt; Fees: 500
_x000D_--------------
_x000D_=&gt; Status: 0
_x000D_--------------
_x000D_=&gt; Notes:- 
_x000D_Notes
_x000D_--------------</t>
        </r>
      </text>
    </comment>
    <comment ref="A19" authorId="0" shapeId="0" xr:uid="{186A22F0-1628-DA41-8B2A-071C42F8CF86}">
      <text>
        <r>
          <rPr>
            <sz val="10"/>
            <color rgb="FF000000"/>
            <rFont val="Tahoma"/>
            <family val="2"/>
          </rPr>
          <t>=&gt; RecordID: 2025021713
_x000D_--------------
_x000D_=&gt; Date: 2025-02-25
_x000D_--------------
_x000D_=&gt; Problems:- 
_x000D_P1, P2, P3, P4,
P5
_x000D_--------------
_x000D_=&gt; Medicines:- 
_x000D_M1
M2
M3
_x000D_--------------
_x000D_=&gt; BP: 12
_x000D_--------------
_x000D_=&gt; HR: 13
_x000D_--------------
_x000D_=&gt; Fees: 300
_x000D_--------------
_x000D_=&gt; Status: 1
_x000D_--------------
_x000D_=&gt; Notes:- 
_x000D_N1,
N2,
N3,
N4,
N5,
N6
_x000D_--------------</t>
        </r>
      </text>
    </comment>
    <comment ref="A20" authorId="0" shapeId="0" xr:uid="{0643E913-0D27-5644-8DAD-D3DE87B19D14}">
      <text>
        <r>
          <rPr>
            <sz val="10"/>
            <color rgb="FF000000"/>
            <rFont val="Tahoma"/>
            <family val="2"/>
          </rPr>
          <t>=&gt; RecordID: 2
_x000D_--------------
_x000D_=&gt; Date: 2025-02-20
_x000D_--------------
_x000D_=&gt; Problems:- 
_x000D_This 
_x000D_--------------
_x000D_=&gt; Medicines:- 
_x000D_These
_x000D_--------------
_x000D_=&gt; BP: 
_x000D_--------------
_x000D_=&gt; HR: 
_x000D_--------------
_x000D_=&gt; Fees: 20
_x000D_--------------
_x000D_=&gt; Status: 0
_x000D_--------------
_x000D_=&gt; Notes:- 
_x000D_
_x000D_--------------</t>
        </r>
      </text>
    </comment>
    <comment ref="A21" authorId="0" shapeId="0" xr:uid="{D1502CA8-9F6A-304F-9499-78D6DEA987A6}">
      <text>
        <r>
          <rPr>
            <sz val="10"/>
            <color rgb="FF000000"/>
            <rFont val="Tahoma"/>
            <family val="2"/>
          </rPr>
          <t>=&gt; RecordID: 1
_x000D_--------------
_x000D_=&gt; Date: 2025-02-19
_x000D_--------------
_x000D_=&gt; Problems:- 
_x000D_Cough, Cold, Headache
_x000D_--------------
_x000D_=&gt; Medicines:- 
_x000D_That
_x000D_--------------
_x000D_=&gt; BP: 
_x000D_--------------
_x000D_=&gt; HR: 
_x000D_--------------
_x000D_=&gt; Fees: 100
_x000D_--------------
_x000D_=&gt; Status: 1
_x000D_--------------
_x000D_=&gt; Notes:- 
_x000D_Allergy from peanuts, dust, banana, animal hair, white powder, body powder
_x000D_--------------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<sst xmlns="http://schemas.openxmlformats.org/spreadsheetml/2006/main" count="111" uniqueCount="75">
  <si>
    <t>Age</t>
  </si>
  <si>
    <t>Gender</t>
  </si>
  <si>
    <t>Contact</t>
  </si>
  <si>
    <t>Address</t>
  </si>
  <si>
    <t>Name</t>
  </si>
  <si>
    <t>Alice</t>
  </si>
  <si>
    <t>Charlie</t>
  </si>
  <si>
    <t>Danny</t>
  </si>
  <si>
    <t>Name:</t>
  </si>
  <si>
    <t>Gender:</t>
  </si>
  <si>
    <t xml:space="preserve">Contact: </t>
  </si>
  <si>
    <t>Address:</t>
  </si>
  <si>
    <t>M</t>
  </si>
  <si>
    <t>F</t>
  </si>
  <si>
    <t>ON</t>
  </si>
  <si>
    <t>Deep Clinic</t>
  </si>
  <si>
    <t xml:space="preserve">Search: </t>
  </si>
  <si>
    <t>PatientID</t>
  </si>
  <si>
    <t>Age:</t>
  </si>
  <si>
    <t>PatientDetails</t>
  </si>
  <si>
    <t>PatientID:</t>
  </si>
  <si>
    <t>Toronto</t>
  </si>
  <si>
    <t>Markham</t>
  </si>
  <si>
    <t>Date</t>
  </si>
  <si>
    <t>Medicines</t>
  </si>
  <si>
    <t>Fees</t>
  </si>
  <si>
    <t>Status</t>
  </si>
  <si>
    <t>RecordID</t>
  </si>
  <si>
    <t>That</t>
  </si>
  <si>
    <t xml:space="preserve">This </t>
  </si>
  <si>
    <t>These</t>
  </si>
  <si>
    <t>Cough</t>
  </si>
  <si>
    <t>Medicine-A</t>
  </si>
  <si>
    <t>Cold</t>
  </si>
  <si>
    <t>Medicine-5</t>
  </si>
  <si>
    <t>Frenny</t>
  </si>
  <si>
    <t>North Bay</t>
  </si>
  <si>
    <t>Notes</t>
  </si>
  <si>
    <t>Notes:</t>
  </si>
  <si>
    <t>Patient's Basic Info</t>
  </si>
  <si>
    <t>Cough, Cold, Headache</t>
  </si>
  <si>
    <t>Garry</t>
  </si>
  <si>
    <t>Windsor</t>
  </si>
  <si>
    <t>BP</t>
  </si>
  <si>
    <t>Boby</t>
  </si>
  <si>
    <t>Diabetes</t>
  </si>
  <si>
    <t>Heart Rate</t>
  </si>
  <si>
    <t>Fee</t>
  </si>
  <si>
    <t>Problems</t>
  </si>
  <si>
    <t>Allergy from peanuts, dust, banana, animal hair, white powder, body powder</t>
  </si>
  <si>
    <t>Problems:</t>
  </si>
  <si>
    <t>Medicines:</t>
  </si>
  <si>
    <t>BP:</t>
  </si>
  <si>
    <t>HR:</t>
  </si>
  <si>
    <t>Fee:</t>
  </si>
  <si>
    <t>P1, P2, P3, P4,
P5</t>
  </si>
  <si>
    <t>M1
M2
M3</t>
  </si>
  <si>
    <t>RecordID:</t>
  </si>
  <si>
    <t>The Problem</t>
  </si>
  <si>
    <t>Medicines 2 UPDATED</t>
  </si>
  <si>
    <t>Notes UPDATED</t>
  </si>
  <si>
    <t>M1</t>
  </si>
  <si>
    <t>N1</t>
  </si>
  <si>
    <t>P1_UPD</t>
  </si>
  <si>
    <t>Date:</t>
  </si>
  <si>
    <t>N1,
N2,
N3,
N4,
N5,
N6</t>
  </si>
  <si>
    <t xml:space="preserve">When you combine these two control characters (vbCrLf), it creates a line break (also known as a newline) that works in both Windows environments for text handling. It's equivalent to pressing Enter in a text editor.
</t>
  </si>
  <si>
    <t>Harry</t>
  </si>
  <si>
    <t>P1</t>
  </si>
  <si>
    <t>Ishika</t>
  </si>
  <si>
    <t>Female</t>
  </si>
  <si>
    <t xml:space="preserve"> </t>
  </si>
  <si>
    <t>Pending</t>
  </si>
  <si>
    <t>Pending Amt</t>
  </si>
  <si>
    <t>Unpaid: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</si>
</sst>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family val="2"/>
      <scheme val="minor"/>
    </font>
    <font>
      <sz val="20"/>
      <color theme="1"/>
      <name val="Verdana"/>
      <family val="2"/>
    </font>
    <font>
      <b/>
      <sz val="20"/>
      <color theme="1"/>
      <name val="Verdana"/>
      <family val="2"/>
    </font>
    <font>
      <sz val="8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48"/>
      <color theme="1"/>
      <name val="Comic Sans MS Bold"/>
    </font>
    <font>
      <b/>
      <sz val="20"/>
      <color theme="1"/>
      <name val="Comic Sans MS Bold"/>
    </font>
    <font>
      <b/>
      <sz val="16"/>
      <color rgb="FF000000"/>
      <name val="Verdana"/>
      <family val="2"/>
    </font>
    <font>
      <sz val="8"/>
      <color theme="1"/>
      <name val="Verdana"/>
      <family val="2"/>
    </font>
    <font>
      <sz val="16"/>
      <color theme="1"/>
      <name val="Verdana"/>
      <family val="2"/>
    </font>
    <font>
      <b/>
      <sz val="18"/>
      <color rgb="FF000000"/>
      <name val="Verdana"/>
      <family val="2"/>
    </font>
    <font>
      <sz val="10"/>
      <color rgb="FF000000"/>
      <name val="Tahoma"/>
      <family val="2"/>
    </font>
    <font>
      <sz val="18"/>
      <color theme="1"/>
      <name val="Verdana"/>
      <family val="2"/>
    </font>
    <font>
      <b/>
      <sz val="16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shrinkToFit="1"/>
    </xf>
    <xf numFmtId="0" fontId="1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left" vertical="center" wrapText="1"/>
      <protection locked="0"/>
    </xf>
    <xf numFmtId="14" fontId="1" fillId="0" borderId="0" xfId="0" applyNumberFormat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1" applyNumberFormat="1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horizontal="left" vertical="top" wrapText="1"/>
      <protection locked="0"/>
    </xf>
    <xf numFmtId="14" fontId="1" fillId="2" borderId="1" xfId="0" applyNumberFormat="1" applyFont="1" applyFill="1" applyBorder="1" applyAlignment="1" applyProtection="1">
      <alignment horizontal="left"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" fillId="0" borderId="9" xfId="0" applyFont="1" applyBorder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1" fillId="0" borderId="1" xfId="0" applyFont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 applyProtection="1">
      <alignment horizontal="left" vertical="top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9" fillId="2" borderId="2" xfId="0" applyFont="1" applyFill="1" applyBorder="1" applyAlignment="1" applyProtection="1">
      <alignment horizontal="left" vertical="center" wrapText="1"/>
      <protection locked="0"/>
    </xf>
    <xf numFmtId="0" fontId="9" fillId="2" borderId="3" xfId="0" applyFont="1" applyFill="1" applyBorder="1" applyAlignment="1" applyProtection="1">
      <alignment horizontal="left" vertical="center" wrapText="1"/>
      <protection locked="0"/>
    </xf>
    <xf numFmtId="0" fontId="9" fillId="2" borderId="4" xfId="0" applyFont="1" applyFill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 applyProtection="1">
      <alignment horizontal="left" vertical="center" wrapText="1"/>
      <protection locked="0"/>
    </xf>
    <xf numFmtId="0" fontId="9" fillId="2" borderId="2" xfId="0" applyNumberFormat="1" applyFont="1" applyFill="1" applyBorder="1" applyAlignment="1" applyProtection="1">
      <alignment horizontal="left" vertical="center" wrapText="1"/>
      <protection locked="0"/>
    </xf>
    <xf numFmtId="0" fontId="9" fillId="2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left" vertical="center" wrapText="1"/>
    </xf>
    <xf numFmtId="0" fontId="5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 wrapText="1"/>
    </xf>
    <xf numFmtId="14" fontId="1" fillId="0" borderId="0" xfId="0" applyNumberFormat="1" applyFont="1" applyAlignment="1" applyProtection="1">
      <alignment horizontal="left" vertical="center" wrapText="1"/>
    </xf>
    <xf numFmtId="0" fontId="2" fillId="0" borderId="0" xfId="0" applyFont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1" fillId="0" borderId="0" xfId="0" applyFont="1" applyAlignment="1" applyProtection="1">
      <alignment vertical="center" wrapText="1"/>
    </xf>
    <xf numFmtId="0" fontId="2" fillId="0" borderId="1" xfId="0" applyFont="1" applyBorder="1" applyAlignment="1" applyProtection="1">
      <alignment horizontal="left" vertical="center" wrapText="1"/>
    </xf>
    <xf numFmtId="0" fontId="2" fillId="0" borderId="5" xfId="0" applyFont="1" applyBorder="1" applyAlignment="1" applyProtection="1">
      <alignment horizontal="left" vertical="center" wrapText="1"/>
    </xf>
    <xf numFmtId="0" fontId="2" fillId="0" borderId="6" xfId="0" applyFont="1" applyBorder="1" applyAlignment="1" applyProtection="1">
      <alignment horizontal="left" vertical="center" wrapText="1"/>
    </xf>
    <xf numFmtId="14" fontId="12" fillId="0" borderId="0" xfId="0" applyNumberFormat="1" applyFont="1" applyAlignment="1" applyProtection="1">
      <alignment horizontal="left" vertical="center" wrapText="1"/>
    </xf>
    <xf numFmtId="0" fontId="2" fillId="0" borderId="7" xfId="0" applyFont="1" applyBorder="1" applyAlignment="1" applyProtection="1">
      <alignment horizontal="left" vertical="center" wrapText="1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2" borderId="3" xfId="0" applyFont="1" applyFill="1" applyBorder="1" applyAlignment="1" applyProtection="1">
      <alignment horizontal="left" vertical="center" wrapText="1"/>
      <protection locked="0"/>
    </xf>
    <xf numFmtId="0" fontId="2" fillId="2" borderId="4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/>
    <xf numFmtId="14" fontId="1" fillId="0" borderId="0" xfId="0" applyNumberFormat="1" applyFont="1" applyAlignment="1"/>
    <xf numFmtId="0" fontId="2" fillId="0" borderId="0" xfId="0" applyFont="1" applyBorder="1" applyAlignment="1" applyProtection="1">
      <alignment horizontal="left" vertical="center" wrapText="1"/>
    </xf>
    <xf numFmtId="14" fontId="2" fillId="0" borderId="0" xfId="0" applyNumberFormat="1" applyFont="1" applyBorder="1" applyAlignment="1" applyProtection="1">
      <alignment horizontal="left" vertical="center" wrapText="1"/>
    </xf>
    <xf numFmtId="0" fontId="9" fillId="0" borderId="0" xfId="0" applyFont="1" applyProtection="1"/>
    <xf numFmtId="0" fontId="9" fillId="0" borderId="13" xfId="0" applyFont="1" applyBorder="1" applyProtection="1"/>
    <xf numFmtId="14" fontId="9" fillId="2" borderId="1" xfId="0" applyNumberFormat="1" applyFont="1" applyFill="1" applyBorder="1" applyProtection="1">
      <protection locked="0"/>
    </xf>
    <xf numFmtId="0" fontId="13" fillId="0" borderId="10" xfId="0" applyFont="1" applyBorder="1" applyAlignment="1" applyProtection="1">
      <alignment horizontal="center" vertical="center"/>
    </xf>
    <xf numFmtId="0" fontId="13" fillId="0" borderId="11" xfId="0" applyFont="1" applyBorder="1" applyAlignment="1" applyProtection="1">
      <alignment horizontal="center" vertical="center"/>
    </xf>
    <xf numFmtId="0" fontId="13" fillId="0" borderId="1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</cellXfs>
  <cellStyles count="2">
    <cellStyle name="Hyperlink" xfId="1" builtinId="8"/>
    <cellStyle name="Normal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textRotation="0" wrapText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Verdana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ourier New"/>
        <family val="1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1308100</xdr:colOff>
      <xdr:row>4</xdr:row>
      <xdr:rowOff>38100</xdr:rowOff>
    </xdr:from>
    <xdr:to>
      <xdr:col>8</xdr:col>
      <xdr:colOff>0</xdr:colOff>
      <xdr:row>5</xdr:row>
      <xdr:rowOff>0</xdr:rowOff>
    </xdr:to>
    <xdr:pic>
      <xdr:nvPicPr>
        <xdr:cNvPr id="14" name="Graphic 13" descr="Magnifying glass with solid fill">
          <a:extLst>
            <a:ext uri="{FF2B5EF4-FFF2-40B4-BE49-F238E27FC236}">
              <a16:creationId xmlns:a16="http://schemas.microsoft.com/office/drawing/2014/main" id="{7C3AB928-C9F1-7AA1-7E64-14B24179E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95600" y="1308100"/>
          <a:ext cx="279400" cy="279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838200</xdr:colOff>
      <xdr:row>0</xdr:row>
      <xdr:rowOff>127000</xdr:rowOff>
    </xdr:from>
    <xdr:to>
      <xdr:col>4</xdr:col>
      <xdr:colOff>1485900</xdr:colOff>
      <xdr:row>2</xdr:row>
      <xdr:rowOff>139700</xdr:rowOff>
    </xdr:to>
    <xdr:pic>
      <xdr:nvPicPr>
        <xdr:cNvPr id="18" name="Picture 17" descr="Medical with solid fill">
          <a:extLst>
            <a:ext uri="{FF2B5EF4-FFF2-40B4-BE49-F238E27FC236}">
              <a16:creationId xmlns:a16="http://schemas.microsoft.com/office/drawing/2014/main" id="{3487D0BB-C996-201F-F0E3-A382C35EF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88200" y="127000"/>
          <a:ext cx="647700" cy="647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25400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196" name="Button 148" descr="Save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25</xdr:row>
          <xdr:rowOff>25400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566" name="Button 518" descr="Save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0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3</xdr:row>
          <xdr:rowOff>304800</xdr:rowOff>
        </xdr:from>
        <xdr:to>
          <xdr:col>8</xdr:col>
          <xdr:colOff>1079500</xdr:colOff>
          <xdr:row>4</xdr:row>
          <xdr:rowOff>304800</xdr:rowOff>
        </xdr:to>
        <xdr:sp macro="" textlink="">
          <xdr:nvSpPr>
            <xdr:cNvPr id="2725" name="Button 677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0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2B87A3-0BB2-A14B-8080-098E51325E8E}" name="RefRecordTable" displayName="RefRecordTable" ref="A16:E21" headerRowDxfId="14" dataDxfId="12" totalsRowDxfId="13">
  <autoFilter ref="A16:E21" xr:uid="{D42B87A3-0BB2-A14B-8080-098E51325E8E}"/>
  <tableColumns count="5">
    <tableColumn id="1" xr3:uid="{4DE148DE-B2DC-EF4D-9FDA-4BF606101831}" name="RecordID" totalsRowLabel="Total" dataDxfId="19" totalsRowDxfId="41"/>
    <tableColumn id="2" xr3:uid="{5A3B6C11-A7D9-EB4A-AFA5-42A8CDC74D31}" name="Date" dataDxfId="18" totalsRowDxfId="40"/>
    <tableColumn id="3" xr3:uid="{D6312AD7-4DFF-1E43-9925-857D0CFE5FED}" name="Medicines" dataDxfId="17" totalsRowDxfId="39"/>
    <tableColumn id="4" xr3:uid="{1D442F4A-858E-E141-8D9C-B4234A72E453}" name="Fee" dataDxfId="16" totalsRowDxfId="38"/>
    <tableColumn id="5" xr3:uid="{9986E758-EE30-D54F-AE0C-6F15C1FEC0BC}" name="Status" totalsRowFunction="sum" dataDxfId="15" totalsRowDxfId="37"/>
  </tableColumns>
  <tableStyleInfo name="TableStyleMedium1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C2F403-A059-D846-A158-FC2B992DB1C6}" name="PatientTable" displayName="PatientTable" ref="A1:G9" headerRowDxfId="36" dataDxfId="35" totalsRowDxfId="34">
  <autoFilter ref="A1:G9" xr:uid="{A9C2F403-A059-D846-A158-FC2B992DB1C6}"/>
  <tableColumns count="7">
    <tableColumn id="12" xr3:uid="{FF297DEE-9E28-C643-98C4-F6C2BAEC36F4}" name="PatientID" dataDxfId="33" totalsRowDxfId="32"/>
    <tableColumn id="1" xr3:uid="{B295F0C8-8246-8D40-8105-A6C34E08B140}" name="Name" totalsRowLabel="Total" dataDxfId="31" totalsRowDxfId="30"/>
    <tableColumn id="2" xr3:uid="{6EAA05A1-B94C-EF4C-869D-C3595884AFC9}" name="Age" dataDxfId="29" totalsRowDxfId="28"/>
    <tableColumn id="3" xr3:uid="{9C1AE833-A605-5A41-AEC5-F5A388B8AFDB}" name="Gender" dataDxfId="27" totalsRowDxfId="26"/>
    <tableColumn id="4" xr3:uid="{DD9C3CE0-B149-694C-81B0-D9CF1F7FE900}" name="Contact" dataDxfId="25" totalsRowDxfId="24"/>
    <tableColumn id="5" xr3:uid="{0AFFAC06-F7C5-7445-A9F9-5615639BEFB5}" name="Address" totalsRowFunction="count" dataDxfId="23" totalsRowDxfId="22"/>
    <tableColumn id="13" xr3:uid="{98EC21D2-961B-1047-B107-61312D0DC024}" name="Notes" dataDxfId="21" totalsRowDxfId="20"/>
  </tableColumns>
  <tableStyleInfo name="TableStyleMedium1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BD0BCF-86B1-D948-B4C0-5EFAC60AD19B}" name="PatientRecords" displayName="PatientRecords" ref="A1:J11" totalsRowShown="0" headerRowDxfId="11" dataDxfId="0">
  <autoFilter ref="A1:J11" xr:uid="{3CBD0BCF-86B1-D948-B4C0-5EFAC60AD19B}"/>
  <tableColumns count="10">
    <tableColumn id="1" xr3:uid="{FAA73430-5ABC-5D4B-9D8B-AC22EFF9D587}" name="RecordID" dataDxfId="10"/>
    <tableColumn id="2" xr3:uid="{222F26BB-12B2-7F4B-A5DA-000612EE0D22}" name="PatientID" dataDxfId="9"/>
    <tableColumn id="3" xr3:uid="{22786936-ACCA-1F4E-9E02-15FD6C9408EC}" name="Date" dataDxfId="8"/>
    <tableColumn id="4" xr3:uid="{15D345FA-7734-9945-B7B1-97F492779B51}" name="Problems" dataDxfId="7"/>
    <tableColumn id="5" xr3:uid="{9E0064EC-07B4-1943-8045-638A94718464}" name="Medicines" dataDxfId="6"/>
    <tableColumn id="8" xr3:uid="{68763945-EC0F-444D-9E38-77914B0B6E14}" name="BP" dataDxfId="5"/>
    <tableColumn id="9" xr3:uid="{99C97639-3353-244B-8577-C8AA12C374F2}" name="Heart Rate" dataDxfId="4"/>
    <tableColumn id="6" xr3:uid="{D16FBB9C-784A-1944-B319-ED9099DE98C9}" name="Fees" dataDxfId="3"/>
    <tableColumn id="7" xr3:uid="{AE0A0013-730C-3E4E-9F84-B481696857E3}" name="Status" dataDxfId="2"/>
    <tableColumn id="11" xr3:uid="{01CD7CF8-569A-2441-8E63-4D66D66AC4A4}" name="Note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4DF7-2E58-294A-869E-80F4D0E07606}">
  <sheetPr codeName="Sheet1"/>
  <dimension ref="A1:Z27"/>
  <sheetViews>
    <sheetView showGridLines="0" zoomScaleNormal="100" workbookViewId="0">
      <selection activeCell="I28" sqref="I28"/>
    </sheetView>
  </sheetViews>
  <sheetFormatPr baseColWidth="10" defaultColWidth="20.83203125" defaultRowHeight="25" customHeight="1"/>
  <cols>
    <col min="1" max="1" width="25.5" style="7" bestFit="1" customWidth="1"/>
    <col min="2" max="2" width="22.33203125" style="7" customWidth="1"/>
    <col min="3" max="3" width="22" style="7" customWidth="1"/>
    <col min="4" max="5" width="20.83203125" style="7"/>
    <col min="6" max="6" width="4.1640625" style="7" customWidth="1"/>
    <col min="7" max="7" width="18.6640625" style="7" customWidth="1"/>
    <col min="8" max="10" width="20.83203125" style="7"/>
    <col min="11" max="11" width="20.83203125" style="7" customWidth="1"/>
    <col min="12" max="12" width="24.1640625" style="7" bestFit="1" customWidth="1"/>
    <col min="13" max="13" width="18" style="40" customWidth="1"/>
    <col min="14" max="14" width="22.5" style="43" bestFit="1" customWidth="1"/>
    <col min="15" max="15" width="19.83203125" style="8" hidden="1" customWidth="1"/>
    <col min="16" max="16" width="20.83203125" style="42" customWidth="1"/>
    <col min="17" max="26" width="20.83203125" style="40"/>
    <col min="27" max="16384" width="20.83203125" style="7"/>
  </cols>
  <sheetData>
    <row r="1" spans="1:15" ht="25" customHeight="1">
      <c r="A1" s="40" t="s">
        <v>71</v>
      </c>
      <c r="B1" s="40"/>
      <c r="C1" s="40"/>
      <c r="D1" s="40"/>
      <c r="E1" s="41" t="s">
        <v>15</v>
      </c>
      <c r="F1" s="41"/>
      <c r="G1" s="41"/>
      <c r="H1" s="41"/>
      <c r="I1" s="41"/>
      <c r="J1" s="40"/>
      <c r="K1" s="57" t="s">
        <v>64</v>
      </c>
      <c r="L1" s="58">
        <f ca="1">TODAY()</f>
        <v>45717</v>
      </c>
      <c r="N1" s="40"/>
      <c r="O1" s="8" cm="1">
        <f t="array" ref="O1:O5">_xlfn._xlws.SORT(_xlfn._xlws.FILTER(PatientRecords[RecordID], PatientRecords[PatientID] = B8, ""), , -1)</f>
        <v>2025021715</v>
      </c>
    </row>
    <row r="2" spans="1:15" ht="25" customHeight="1">
      <c r="A2" s="40"/>
      <c r="B2" s="40"/>
      <c r="C2" s="40"/>
      <c r="D2" s="40"/>
      <c r="E2" s="41"/>
      <c r="F2" s="41"/>
      <c r="G2" s="41"/>
      <c r="H2" s="41"/>
      <c r="I2" s="41"/>
      <c r="J2" s="40"/>
      <c r="K2" s="40"/>
      <c r="L2" s="40"/>
      <c r="N2" s="40"/>
      <c r="O2" s="8">
        <v>2025021714</v>
      </c>
    </row>
    <row r="3" spans="1:15" ht="25" customHeight="1">
      <c r="A3" s="40"/>
      <c r="B3" s="40"/>
      <c r="C3" s="40"/>
      <c r="D3" s="40"/>
      <c r="E3" s="41"/>
      <c r="F3" s="41"/>
      <c r="G3" s="41"/>
      <c r="H3" s="41"/>
      <c r="I3" s="41"/>
      <c r="J3" s="40"/>
      <c r="K3" s="40"/>
      <c r="L3" s="40"/>
      <c r="N3" s="40"/>
      <c r="O3" s="8">
        <v>2025021713</v>
      </c>
    </row>
    <row r="4" spans="1:15" ht="25" customHeight="1">
      <c r="A4" s="40"/>
      <c r="B4" s="40"/>
      <c r="C4" s="40"/>
      <c r="D4" s="40"/>
      <c r="J4" s="40"/>
      <c r="K4" s="40"/>
      <c r="L4" s="40"/>
      <c r="O4" s="8">
        <v>2</v>
      </c>
    </row>
    <row r="5" spans="1:15" ht="25" customHeight="1">
      <c r="A5" s="40"/>
      <c r="B5" s="40"/>
      <c r="C5" s="40"/>
      <c r="D5" s="40"/>
      <c r="E5" s="10" t="s">
        <v>16</v>
      </c>
      <c r="F5" s="25" t="s">
        <v>5</v>
      </c>
      <c r="G5" s="25"/>
      <c r="H5" s="25"/>
      <c r="J5" s="40"/>
      <c r="K5" s="40"/>
      <c r="L5" s="40"/>
      <c r="O5" s="8">
        <v>1</v>
      </c>
    </row>
    <row r="6" spans="1:15" ht="25" customHeight="1">
      <c r="A6" s="40"/>
      <c r="B6" s="40"/>
      <c r="C6" s="40"/>
      <c r="D6" s="40"/>
      <c r="E6" s="40"/>
      <c r="F6" s="40"/>
      <c r="G6" s="40"/>
      <c r="H6" s="40"/>
      <c r="I6" s="40"/>
      <c r="J6" s="44" t="s">
        <v>57</v>
      </c>
      <c r="K6" s="24"/>
      <c r="L6" s="24"/>
    </row>
    <row r="7" spans="1:15" ht="25" customHeight="1">
      <c r="A7" s="45" t="s">
        <v>39</v>
      </c>
      <c r="B7" s="45"/>
      <c r="C7" s="45"/>
      <c r="D7" s="45"/>
      <c r="E7" s="45"/>
      <c r="F7" s="11"/>
      <c r="G7" s="30" t="s">
        <v>50</v>
      </c>
      <c r="H7" s="26"/>
      <c r="I7" s="26"/>
      <c r="J7" s="26"/>
      <c r="K7" s="26"/>
      <c r="L7" s="26"/>
      <c r="M7" s="46"/>
    </row>
    <row r="8" spans="1:15" ht="25" customHeight="1">
      <c r="A8" s="47" t="s">
        <v>20</v>
      </c>
      <c r="B8" s="52">
        <v>202502171</v>
      </c>
      <c r="C8" s="53"/>
      <c r="D8" s="53"/>
      <c r="E8" s="54"/>
      <c r="G8" s="31"/>
      <c r="H8" s="26"/>
      <c r="I8" s="26"/>
      <c r="J8" s="26"/>
      <c r="K8" s="26"/>
      <c r="L8" s="26"/>
      <c r="M8" s="46"/>
    </row>
    <row r="9" spans="1:15" ht="25" customHeight="1">
      <c r="A9" s="47" t="s">
        <v>8</v>
      </c>
      <c r="B9" s="33" t="s">
        <v>5</v>
      </c>
      <c r="C9" s="34"/>
      <c r="D9" s="34"/>
      <c r="E9" s="35"/>
      <c r="G9" s="32"/>
      <c r="H9" s="26"/>
      <c r="I9" s="26"/>
      <c r="J9" s="26"/>
      <c r="K9" s="26"/>
      <c r="L9" s="26"/>
      <c r="M9" s="46"/>
    </row>
    <row r="10" spans="1:15" ht="25" customHeight="1">
      <c r="A10" s="47" t="s">
        <v>18</v>
      </c>
      <c r="B10" s="38">
        <v>23</v>
      </c>
      <c r="C10" s="39"/>
      <c r="D10" s="47" t="s">
        <v>9</v>
      </c>
      <c r="E10" s="36" t="s">
        <v>13</v>
      </c>
      <c r="G10" s="27" t="s">
        <v>51</v>
      </c>
      <c r="H10" s="28"/>
      <c r="I10" s="29"/>
      <c r="J10" s="27" t="s">
        <v>38</v>
      </c>
      <c r="K10" s="28"/>
      <c r="L10" s="29"/>
      <c r="M10" s="46"/>
    </row>
    <row r="11" spans="1:15" ht="25" customHeight="1">
      <c r="A11" s="47" t="s">
        <v>10</v>
      </c>
      <c r="B11" s="37">
        <v>5199994801</v>
      </c>
      <c r="C11" s="37"/>
      <c r="D11" s="47" t="s">
        <v>11</v>
      </c>
      <c r="E11" s="36" t="s">
        <v>14</v>
      </c>
      <c r="G11" s="26"/>
      <c r="H11" s="26"/>
      <c r="I11" s="26"/>
      <c r="J11" s="26"/>
      <c r="K11" s="26"/>
      <c r="L11" s="26"/>
      <c r="M11" s="46"/>
    </row>
    <row r="12" spans="1:15" ht="25" customHeight="1">
      <c r="A12" s="48" t="s">
        <v>38</v>
      </c>
      <c r="B12" s="26" t="s">
        <v>43</v>
      </c>
      <c r="C12" s="26"/>
      <c r="D12" s="26"/>
      <c r="E12" s="30"/>
      <c r="G12" s="26"/>
      <c r="H12" s="26"/>
      <c r="I12" s="26"/>
      <c r="J12" s="26"/>
      <c r="K12" s="26"/>
      <c r="L12" s="26"/>
      <c r="M12" s="46"/>
    </row>
    <row r="13" spans="1:15" ht="25" customHeight="1">
      <c r="A13" s="49"/>
      <c r="B13" s="26"/>
      <c r="C13" s="26"/>
      <c r="D13" s="26"/>
      <c r="E13" s="31"/>
      <c r="G13" s="26"/>
      <c r="H13" s="26"/>
      <c r="I13" s="26"/>
      <c r="J13" s="26"/>
      <c r="K13" s="26"/>
      <c r="L13" s="26"/>
      <c r="M13" s="46"/>
      <c r="N13" s="50"/>
    </row>
    <row r="14" spans="1:15" ht="25" customHeight="1">
      <c r="A14" s="51"/>
      <c r="B14" s="26"/>
      <c r="C14" s="26"/>
      <c r="D14" s="26"/>
      <c r="E14" s="32"/>
      <c r="G14" s="26"/>
      <c r="H14" s="26"/>
      <c r="I14" s="26"/>
      <c r="J14" s="26"/>
      <c r="K14" s="26"/>
      <c r="L14" s="26"/>
      <c r="M14" s="46"/>
    </row>
    <row r="15" spans="1:15" ht="25" customHeight="1">
      <c r="A15" s="40"/>
      <c r="B15" s="40"/>
      <c r="C15" s="40"/>
      <c r="D15" s="40"/>
      <c r="E15" s="40"/>
      <c r="G15" s="26"/>
      <c r="H15" s="26"/>
      <c r="I15" s="26"/>
      <c r="J15" s="26"/>
      <c r="K15" s="26"/>
      <c r="L15" s="26"/>
      <c r="M15" s="46"/>
    </row>
    <row r="16" spans="1:15" ht="25" customHeight="1">
      <c r="A16" s="13" t="s">
        <v>27</v>
      </c>
      <c r="B16" s="14" t="s">
        <v>23</v>
      </c>
      <c r="C16" s="13" t="s">
        <v>24</v>
      </c>
      <c r="D16" s="13" t="s">
        <v>47</v>
      </c>
      <c r="E16" s="13" t="s">
        <v>26</v>
      </c>
      <c r="F16" s="13"/>
      <c r="G16" s="26"/>
      <c r="H16" s="26"/>
      <c r="I16" s="26"/>
      <c r="J16" s="26"/>
      <c r="K16" s="26"/>
      <c r="L16" s="26"/>
      <c r="M16" s="46"/>
    </row>
    <row r="17" spans="1:13" ht="25" customHeight="1">
      <c r="A17" s="15">
        <v>2025021715</v>
      </c>
      <c r="B17" s="9">
        <v>45713</v>
      </c>
      <c r="C17" s="7" t="s">
        <v>59</v>
      </c>
      <c r="D17" s="7">
        <v>510</v>
      </c>
      <c r="E17" s="7">
        <v>1</v>
      </c>
      <c r="G17" s="26"/>
      <c r="H17" s="26"/>
      <c r="I17" s="26"/>
      <c r="J17" s="26"/>
      <c r="K17" s="26"/>
      <c r="L17" s="26"/>
      <c r="M17" s="46"/>
    </row>
    <row r="18" spans="1:13" ht="25" customHeight="1">
      <c r="A18" s="15">
        <v>2025021714</v>
      </c>
      <c r="B18" s="9">
        <v>45713</v>
      </c>
      <c r="C18" s="7" t="s">
        <v>24</v>
      </c>
      <c r="D18" s="7">
        <v>500</v>
      </c>
      <c r="E18" s="7">
        <v>0</v>
      </c>
      <c r="G18" s="26"/>
      <c r="H18" s="26"/>
      <c r="I18" s="26"/>
      <c r="J18" s="26"/>
      <c r="K18" s="26"/>
      <c r="L18" s="26"/>
      <c r="M18" s="46"/>
    </row>
    <row r="19" spans="1:13" ht="25" customHeight="1">
      <c r="A19" s="15">
        <v>2025021713</v>
      </c>
      <c r="B19" s="9">
        <v>45713</v>
      </c>
      <c r="C19" s="7" t="s">
        <v>56</v>
      </c>
      <c r="D19" s="7">
        <v>300</v>
      </c>
      <c r="E19" s="7">
        <v>1</v>
      </c>
      <c r="G19" s="26"/>
      <c r="H19" s="26"/>
      <c r="I19" s="26"/>
      <c r="J19" s="26"/>
      <c r="K19" s="26"/>
      <c r="L19" s="26"/>
      <c r="M19" s="46"/>
    </row>
    <row r="20" spans="1:13" ht="25" customHeight="1">
      <c r="A20" s="15">
        <v>2</v>
      </c>
      <c r="B20" s="9">
        <v>45708</v>
      </c>
      <c r="C20" s="7" t="s">
        <v>30</v>
      </c>
      <c r="D20" s="7">
        <v>20</v>
      </c>
      <c r="E20" s="7">
        <v>0</v>
      </c>
      <c r="G20" s="26"/>
      <c r="H20" s="26"/>
      <c r="I20" s="26"/>
      <c r="J20" s="26"/>
      <c r="K20" s="26"/>
      <c r="L20" s="26"/>
      <c r="M20" s="46"/>
    </row>
    <row r="21" spans="1:13" ht="25" customHeight="1">
      <c r="A21" s="15">
        <v>1</v>
      </c>
      <c r="B21" s="9">
        <v>45707</v>
      </c>
      <c r="C21" s="7" t="s">
        <v>28</v>
      </c>
      <c r="D21" s="7">
        <v>100</v>
      </c>
      <c r="E21" s="7">
        <v>1</v>
      </c>
      <c r="G21" s="26"/>
      <c r="H21" s="26"/>
      <c r="I21" s="26"/>
      <c r="J21" s="26"/>
      <c r="K21" s="26"/>
      <c r="L21" s="26"/>
      <c r="M21" s="46"/>
    </row>
    <row r="22" spans="1:13" ht="25" customHeight="1">
      <c r="A22" s="16"/>
      <c r="B22" s="9"/>
      <c r="G22" s="26"/>
      <c r="H22" s="26"/>
      <c r="I22" s="26"/>
      <c r="J22" s="26"/>
      <c r="K22" s="26"/>
      <c r="L22" s="26"/>
      <c r="M22" s="46"/>
    </row>
    <row r="23" spans="1:13" ht="25" customHeight="1">
      <c r="G23" s="26"/>
      <c r="H23" s="26"/>
      <c r="I23" s="26"/>
      <c r="J23" s="26"/>
      <c r="K23" s="26"/>
      <c r="L23" s="26"/>
      <c r="M23" s="46"/>
    </row>
    <row r="24" spans="1:13" ht="25" customHeight="1">
      <c r="C24" s="17"/>
      <c r="D24" s="17"/>
      <c r="G24" s="26"/>
      <c r="H24" s="26"/>
      <c r="I24" s="26"/>
      <c r="J24" s="26"/>
      <c r="K24" s="26"/>
      <c r="L24" s="26"/>
      <c r="M24" s="46"/>
    </row>
    <row r="25" spans="1:13" ht="25" customHeight="1">
      <c r="A25" s="18"/>
      <c r="C25" s="17"/>
      <c r="D25" s="17"/>
      <c r="G25" s="19" t="s">
        <v>52</v>
      </c>
      <c r="H25" s="20"/>
      <c r="I25" s="19" t="s">
        <v>54</v>
      </c>
      <c r="J25" s="20"/>
      <c r="K25" s="19" t="s">
        <v>64</v>
      </c>
      <c r="L25" s="21">
        <v>45717</v>
      </c>
      <c r="M25" s="46"/>
    </row>
    <row r="26" spans="1:13" ht="25" customHeight="1">
      <c r="C26" s="17"/>
      <c r="D26" s="17"/>
      <c r="G26" s="19" t="s">
        <v>53</v>
      </c>
      <c r="H26" s="20"/>
      <c r="I26" s="19" t="s">
        <v>74</v>
      </c>
      <c r="J26" s="20"/>
      <c r="K26" s="22"/>
      <c r="L26" s="23"/>
      <c r="M26" s="46"/>
    </row>
    <row r="27" spans="1:13" ht="25" customHeight="1">
      <c r="G27" s="12"/>
      <c r="H27" s="12"/>
      <c r="I27" s="12"/>
      <c r="J27" s="12"/>
      <c r="K27" s="12"/>
      <c r="L27" s="12"/>
      <c r="M27" s="46"/>
    </row>
  </sheetData>
  <sheetProtection formatCells="0" formatColumns="0" formatRows="0" insertColumns="0" insertRows="0" insertHyperlinks="0" deleteColumns="0" deleteRows="0" selectLockedCells="1" sort="0" autoFilter="0" pivotTables="0"/>
  <mergeCells count="17">
    <mergeCell ref="B10:C10"/>
    <mergeCell ref="A12:A14"/>
    <mergeCell ref="E12:E14"/>
    <mergeCell ref="K6:L6"/>
    <mergeCell ref="E1:I3"/>
    <mergeCell ref="B12:D14"/>
    <mergeCell ref="A7:E7"/>
    <mergeCell ref="B11:C11"/>
    <mergeCell ref="F5:H5"/>
    <mergeCell ref="H7:L9"/>
    <mergeCell ref="G11:I24"/>
    <mergeCell ref="J11:L24"/>
    <mergeCell ref="G10:I10"/>
    <mergeCell ref="J10:L10"/>
    <mergeCell ref="G7:G9"/>
    <mergeCell ref="B8:E8"/>
    <mergeCell ref="B9:E9"/>
  </mergeCells>
  <dataValidations count="4">
    <dataValidation type="list" errorStyle="information" allowBlank="1" showInputMessage="1" showErrorMessage="1" errorTitle="Patient Record Not Found" error="This patient record was not found. _x000a_Please enter the new record" sqref="F5" xr:uid="{45C893E5-D1BB-F84A-910A-A66EA0110CCB}">
      <formula1>PatientDetails</formula1>
    </dataValidation>
    <dataValidation type="whole" operator="lessThan" allowBlank="1" showInputMessage="1" showErrorMessage="1" errorTitle="Invalid Input" error="Please select proper age" sqref="B10:C10" xr:uid="{970EE789-3D79-4948-A81C-96F40888BFFD}">
      <formula1>150</formula1>
    </dataValidation>
    <dataValidation type="list" allowBlank="1" showInputMessage="1" showErrorMessage="1" sqref="E10" xr:uid="{83EC708B-DF5F-DA48-BC8D-D446DA346C95}">
      <formula1>"Male,Female"</formula1>
    </dataValidation>
    <dataValidation type="list" allowBlank="1" showInputMessage="1" showErrorMessage="1" sqref="K6:L6" xr:uid="{8CCA99F6-3593-A649-B3CE-86E38617462A}">
      <formula1>O:O</formula1>
    </dataValidation>
  </dataValidations>
  <pageMargins left="0.7" right="0.7" top="0.75" bottom="0.75" header="0.3" footer="0.3"/>
  <pageSetup fitToWidth="0" fitToHeight="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6" r:id="rId3" name="Button 38">
              <controlPr defaultSize="0" print="0" autoFill="0" autoPict="0" macro="[0]!_xludf.Save">
                <anchor moveWithCells="1" sizeWithCells="1">
                  <from>
                    <xdr:col>4</xdr:col>
                    <xdr:colOff>25400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4" name="Button 148">
              <controlPr defaultSize="0" print="0" autoFill="0" autoPict="0" macro="[0]!savePatientRecord" altText="Save">
                <anchor moveWithCells="1" sizeWithCells="1">
                  <from>
                    <xdr:col>11</xdr:col>
                    <xdr:colOff>12700</xdr:colOff>
                    <xdr:row>25</xdr:row>
                    <xdr:rowOff>25400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5" name="Button 518">
              <controlPr defaultSize="0" print="0" autoFill="0" autoPict="0" macro="[0]!clearForm" altText="Save">
                <anchor moveWithCells="1" sizeWithCells="1">
                  <from>
                    <xdr:col>10</xdr:col>
                    <xdr:colOff>12700</xdr:colOff>
                    <xdr:row>25</xdr:row>
                    <xdr:rowOff>25400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6" name="Button 677">
              <controlPr defaultSize="0" print="0" autoFill="0" autoPict="0" macro="[0]!completeReset">
                <anchor moveWithCells="1" sizeWithCells="1">
                  <from>
                    <xdr:col>8</xdr:col>
                    <xdr:colOff>304800</xdr:colOff>
                    <xdr:row>3</xdr:row>
                    <xdr:rowOff>304800</xdr:rowOff>
                  </from>
                  <to>
                    <xdr:col>8</xdr:col>
                    <xdr:colOff>1079500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8749-FC44-D641-B130-949A96981F86}">
  <dimension ref="A1:F5"/>
  <sheetViews>
    <sheetView tabSelected="1" workbookViewId="0">
      <selection activeCell="F11" sqref="F11"/>
    </sheetView>
  </sheetViews>
  <sheetFormatPr baseColWidth="10" defaultColWidth="25.83203125" defaultRowHeight="25" customHeight="1"/>
  <cols>
    <col min="1" max="3" width="25.83203125" style="59"/>
    <col min="4" max="4" width="25.83203125" style="60"/>
    <col min="5" max="5" width="21.83203125" style="59" customWidth="1"/>
    <col min="6" max="6" width="25.83203125" style="59"/>
    <col min="7" max="7" width="27.5" style="59" customWidth="1"/>
    <col min="8" max="16384" width="25.83203125" style="59"/>
  </cols>
  <sheetData>
    <row r="1" spans="1:6" ht="25" customHeight="1" thickBot="1">
      <c r="A1" s="62" t="s">
        <v>17</v>
      </c>
      <c r="B1" s="63" t="s">
        <v>27</v>
      </c>
      <c r="C1" s="63" t="s">
        <v>47</v>
      </c>
      <c r="D1" s="64" t="s">
        <v>72</v>
      </c>
      <c r="E1" s="65" t="s">
        <v>23</v>
      </c>
    </row>
    <row r="2" spans="1:6" ht="25" customHeight="1">
      <c r="A2" s="59" cm="1">
        <f t="array" ref="A2:A4">_xlfn._xlws.FILTER(PatientRecords[PatientID], PatientRecords[Date]=E2, "")</f>
        <v>202502171</v>
      </c>
      <c r="B2" s="59" cm="1">
        <f t="array" ref="B2:B4">_xlfn._xlws.FILTER(PatientRecords[RecordID], PatientRecords[Date]=E2, "")</f>
        <v>2025021713</v>
      </c>
      <c r="C2" s="59" cm="1">
        <f t="array" ref="C2:C4">_xlfn._xlws.FILTER(PatientRecords[Fees], PatientRecords[Date]=E2, "")</f>
        <v>300</v>
      </c>
      <c r="D2" s="60" cm="1">
        <f t="array" ref="D2:D4">_xlfn._xlws.FILTER(PatientRecords[Status], PatientRecords[Date]=E2, "")</f>
        <v>1</v>
      </c>
      <c r="E2" s="61">
        <v>45713</v>
      </c>
    </row>
    <row r="3" spans="1:6" ht="25" customHeight="1">
      <c r="A3" s="59">
        <v>202502171</v>
      </c>
      <c r="B3" s="59">
        <v>2025021714</v>
      </c>
      <c r="C3" s="59">
        <v>500</v>
      </c>
      <c r="D3" s="60">
        <v>0</v>
      </c>
    </row>
    <row r="4" spans="1:6" ht="25" customHeight="1">
      <c r="A4" s="59">
        <v>202502171</v>
      </c>
      <c r="B4" s="59">
        <v>2025021715</v>
      </c>
      <c r="C4" s="59">
        <v>510</v>
      </c>
      <c r="D4" s="60">
        <v>1</v>
      </c>
      <c r="E4" s="66" t="s">
        <v>47</v>
      </c>
      <c r="F4" s="59">
        <f>SUMIF(C:C, "&gt;=0")</f>
        <v>1310</v>
      </c>
    </row>
    <row r="5" spans="1:6" ht="25" customHeight="1">
      <c r="E5" s="66" t="s">
        <v>73</v>
      </c>
      <c r="F5" s="59">
        <f>SUMIF(D:D, "&gt;=0")</f>
        <v>2</v>
      </c>
    </row>
  </sheetData>
  <dataValidations count="1">
    <dataValidation type="date" operator="lessThanOrEqual" allowBlank="1" showInputMessage="1" showErrorMessage="1" sqref="E2" xr:uid="{F1DDE3F0-D1C0-D143-8D50-D4A9CB3B2241}">
      <formula1>TODAY()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8812C-489C-DD4E-B756-D2DD967FB72B}">
  <sheetPr codeName="Sheet2"/>
  <dimension ref="A1:I9"/>
  <sheetViews>
    <sheetView workbookViewId="0">
      <selection activeCell="D18" sqref="D18"/>
    </sheetView>
  </sheetViews>
  <sheetFormatPr baseColWidth="10" defaultRowHeight="25"/>
  <cols>
    <col min="1" max="1" width="28.5" style="1" customWidth="1"/>
    <col min="2" max="2" width="19.6640625" style="1" customWidth="1"/>
    <col min="3" max="3" width="26.1640625" style="1" customWidth="1"/>
    <col min="4" max="4" width="30" style="1" customWidth="1"/>
    <col min="5" max="5" width="32" style="1" customWidth="1"/>
    <col min="6" max="6" width="21.5" style="1" customWidth="1"/>
    <col min="7" max="7" width="35.83203125" style="4" customWidth="1"/>
    <col min="8" max="8" width="10.83203125" style="1"/>
    <col min="9" max="9" width="0" style="1" hidden="1" customWidth="1"/>
    <col min="10" max="16384" width="10.83203125" style="1"/>
  </cols>
  <sheetData>
    <row r="1" spans="1:9" ht="26">
      <c r="A1" s="3" t="s">
        <v>17</v>
      </c>
      <c r="B1" s="3" t="s">
        <v>4</v>
      </c>
      <c r="C1" s="3" t="s">
        <v>0</v>
      </c>
      <c r="D1" s="3" t="s">
        <v>1</v>
      </c>
      <c r="E1" s="3" t="s">
        <v>2</v>
      </c>
      <c r="F1" s="3" t="s">
        <v>3</v>
      </c>
      <c r="G1" s="5" t="s">
        <v>37</v>
      </c>
      <c r="I1" s="2" t="s">
        <v>19</v>
      </c>
    </row>
    <row r="2" spans="1:9" ht="26">
      <c r="A2" s="3">
        <v>202502171</v>
      </c>
      <c r="B2" s="3" t="s">
        <v>5</v>
      </c>
      <c r="C2" s="3">
        <v>23</v>
      </c>
      <c r="D2" s="3" t="s">
        <v>13</v>
      </c>
      <c r="E2" s="3">
        <v>5199994801</v>
      </c>
      <c r="F2" s="3" t="s">
        <v>14</v>
      </c>
      <c r="G2" s="5" t="s">
        <v>43</v>
      </c>
      <c r="I2" s="1" t="str" cm="1">
        <f t="array" ref="I2:I9">PatientTable[Name] &amp; " - " &amp; PatientTable[Address] &amp; " - " &amp; PatientTable[PatientID]</f>
        <v>Alice - ON - 202502171</v>
      </c>
    </row>
    <row r="3" spans="1:9" ht="26">
      <c r="A3" s="3">
        <v>202502172</v>
      </c>
      <c r="B3" s="3" t="s">
        <v>44</v>
      </c>
      <c r="C3" s="3">
        <v>25</v>
      </c>
      <c r="D3" s="3" t="s">
        <v>13</v>
      </c>
      <c r="E3" s="3">
        <v>5199994802</v>
      </c>
      <c r="F3" s="3" t="s">
        <v>14</v>
      </c>
      <c r="G3" s="5" t="s">
        <v>45</v>
      </c>
      <c r="I3" s="1" t="str">
        <v>Boby - ON - 202502172</v>
      </c>
    </row>
    <row r="4" spans="1:9">
      <c r="A4" s="3">
        <v>202502181</v>
      </c>
      <c r="B4" s="3" t="s">
        <v>6</v>
      </c>
      <c r="C4" s="3">
        <v>35</v>
      </c>
      <c r="D4" s="3" t="s">
        <v>12</v>
      </c>
      <c r="E4" s="3">
        <v>5199994803</v>
      </c>
      <c r="F4" s="3" t="s">
        <v>21</v>
      </c>
      <c r="G4" s="5"/>
      <c r="I4" s="1" t="str">
        <v>Charlie - Toronto - 202502181</v>
      </c>
    </row>
    <row r="5" spans="1:9">
      <c r="A5" s="3">
        <v>202502182</v>
      </c>
      <c r="B5" s="3" t="s">
        <v>7</v>
      </c>
      <c r="C5" s="3">
        <v>35</v>
      </c>
      <c r="D5" s="3" t="s">
        <v>12</v>
      </c>
      <c r="E5" s="3">
        <v>5199994804</v>
      </c>
      <c r="F5" s="3" t="s">
        <v>22</v>
      </c>
      <c r="G5" s="5"/>
      <c r="I5" s="1" t="str">
        <v>Danny - Markham - 202502182</v>
      </c>
    </row>
    <row r="6" spans="1:9">
      <c r="A6" s="3">
        <v>202502191</v>
      </c>
      <c r="B6" s="3" t="s">
        <v>35</v>
      </c>
      <c r="C6" s="3">
        <v>34</v>
      </c>
      <c r="D6" s="3" t="s">
        <v>13</v>
      </c>
      <c r="E6" s="3">
        <v>5199994805</v>
      </c>
      <c r="F6" s="3" t="s">
        <v>36</v>
      </c>
      <c r="G6" s="5"/>
      <c r="I6" s="1" t="str">
        <v>Frenny - North Bay - 202502191</v>
      </c>
    </row>
    <row r="7" spans="1:9">
      <c r="A7" s="3">
        <v>202502231</v>
      </c>
      <c r="B7" s="3" t="s">
        <v>41</v>
      </c>
      <c r="C7" s="3">
        <v>60</v>
      </c>
      <c r="D7" s="3" t="s">
        <v>12</v>
      </c>
      <c r="E7" s="3">
        <v>5199994806</v>
      </c>
      <c r="F7" s="3" t="s">
        <v>42</v>
      </c>
      <c r="G7" s="5"/>
      <c r="I7" s="1" t="str">
        <v>Garry - Windsor - 202502231</v>
      </c>
    </row>
    <row r="8" spans="1:9">
      <c r="A8" s="3">
        <v>202502261</v>
      </c>
      <c r="B8" s="3" t="s">
        <v>67</v>
      </c>
      <c r="C8" s="3">
        <v>90</v>
      </c>
      <c r="D8" s="3" t="s">
        <v>12</v>
      </c>
      <c r="E8" s="3"/>
      <c r="F8" s="3" t="s">
        <v>14</v>
      </c>
      <c r="G8" s="5"/>
      <c r="I8" s="1" t="str">
        <v>Harry - ON - 202502261</v>
      </c>
    </row>
    <row r="9" spans="1:9">
      <c r="A9" s="3">
        <v>202502262</v>
      </c>
      <c r="B9" s="3" t="s">
        <v>69</v>
      </c>
      <c r="C9" s="3">
        <v>12</v>
      </c>
      <c r="D9" s="3" t="s">
        <v>70</v>
      </c>
      <c r="E9" s="3"/>
      <c r="F9" s="3" t="s">
        <v>42</v>
      </c>
      <c r="G9" s="5"/>
      <c r="I9" s="1" t="str">
        <v>Ishika - Windsor - 202502262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8A655-0953-5C4E-A952-1DE2C41CF789}">
  <sheetPr codeName="Sheet3"/>
  <dimension ref="A1:J18"/>
  <sheetViews>
    <sheetView workbookViewId="0">
      <selection activeCell="C1" sqref="C1"/>
    </sheetView>
  </sheetViews>
  <sheetFormatPr baseColWidth="10" defaultRowHeight="25"/>
  <cols>
    <col min="1" max="1" width="26.6640625" style="55" customWidth="1"/>
    <col min="2" max="2" width="27.1640625" style="55" customWidth="1"/>
    <col min="3" max="3" width="24.33203125" style="55" customWidth="1"/>
    <col min="4" max="4" width="22.83203125" style="55" customWidth="1"/>
    <col min="5" max="5" width="24.33203125" style="55" customWidth="1"/>
    <col min="6" max="6" width="21.5" style="55" customWidth="1"/>
    <col min="7" max="7" width="20.83203125" style="55" customWidth="1"/>
    <col min="8" max="8" width="21.5" style="55" customWidth="1"/>
    <col min="9" max="9" width="21.6640625" style="55" customWidth="1"/>
    <col min="10" max="10" width="21.5" style="55" customWidth="1"/>
    <col min="11" max="16384" width="10.83203125" style="55"/>
  </cols>
  <sheetData>
    <row r="1" spans="1:10">
      <c r="A1" s="55" t="s">
        <v>27</v>
      </c>
      <c r="B1" s="55" t="s">
        <v>17</v>
      </c>
      <c r="C1" s="55" t="s">
        <v>23</v>
      </c>
      <c r="D1" s="55" t="s">
        <v>48</v>
      </c>
      <c r="E1" s="55" t="s">
        <v>24</v>
      </c>
      <c r="F1" s="55" t="s">
        <v>43</v>
      </c>
      <c r="G1" s="55" t="s">
        <v>46</v>
      </c>
      <c r="H1" s="55" t="s">
        <v>25</v>
      </c>
      <c r="I1" s="55" t="s">
        <v>26</v>
      </c>
      <c r="J1" s="55" t="s">
        <v>37</v>
      </c>
    </row>
    <row r="2" spans="1:10">
      <c r="A2" s="3">
        <v>1</v>
      </c>
      <c r="B2" s="3">
        <v>202502171</v>
      </c>
      <c r="C2" s="56">
        <v>45707</v>
      </c>
      <c r="D2" s="55" t="s">
        <v>40</v>
      </c>
      <c r="E2" s="55" t="s">
        <v>28</v>
      </c>
      <c r="H2" s="55">
        <v>100</v>
      </c>
      <c r="I2" s="55">
        <v>1</v>
      </c>
      <c r="J2" s="55" t="s">
        <v>49</v>
      </c>
    </row>
    <row r="3" spans="1:10">
      <c r="A3" s="3">
        <v>2</v>
      </c>
      <c r="B3" s="3">
        <v>202502171</v>
      </c>
      <c r="C3" s="56">
        <v>45708</v>
      </c>
      <c r="D3" s="55" t="s">
        <v>29</v>
      </c>
      <c r="E3" s="55" t="s">
        <v>30</v>
      </c>
      <c r="H3" s="55">
        <v>20</v>
      </c>
      <c r="I3" s="55">
        <v>0</v>
      </c>
    </row>
    <row r="4" spans="1:10">
      <c r="A4" s="3">
        <v>3</v>
      </c>
      <c r="B4" s="3">
        <v>202502181</v>
      </c>
      <c r="C4" s="56">
        <v>45706</v>
      </c>
      <c r="D4" s="55" t="s">
        <v>31</v>
      </c>
      <c r="E4" s="55" t="s">
        <v>32</v>
      </c>
      <c r="H4" s="55">
        <v>10</v>
      </c>
      <c r="I4" s="55">
        <v>0</v>
      </c>
    </row>
    <row r="5" spans="1:10">
      <c r="A5" s="3">
        <v>4</v>
      </c>
      <c r="B5" s="3">
        <v>202502182</v>
      </c>
      <c r="C5" s="56">
        <v>45710</v>
      </c>
      <c r="D5" s="55" t="s">
        <v>33</v>
      </c>
      <c r="E5" s="55" t="s">
        <v>34</v>
      </c>
      <c r="H5" s="55">
        <v>200</v>
      </c>
      <c r="I5" s="55">
        <v>1</v>
      </c>
    </row>
    <row r="6" spans="1:10">
      <c r="A6" s="3">
        <v>2025021713</v>
      </c>
      <c r="B6" s="3">
        <v>202502171</v>
      </c>
      <c r="C6" s="56">
        <v>45713</v>
      </c>
      <c r="D6" s="55" t="s">
        <v>55</v>
      </c>
      <c r="E6" s="55" t="s">
        <v>56</v>
      </c>
      <c r="F6" s="55">
        <v>12</v>
      </c>
      <c r="G6" s="55">
        <v>13</v>
      </c>
      <c r="H6" s="55">
        <v>300</v>
      </c>
      <c r="I6" s="55">
        <v>1</v>
      </c>
      <c r="J6" s="55" t="s">
        <v>65</v>
      </c>
    </row>
    <row r="7" spans="1:10">
      <c r="A7" s="3">
        <v>2025021714</v>
      </c>
      <c r="B7" s="3">
        <v>202502171</v>
      </c>
      <c r="C7" s="56">
        <v>45713</v>
      </c>
      <c r="D7" s="55" t="s">
        <v>58</v>
      </c>
      <c r="E7" s="55" t="s">
        <v>24</v>
      </c>
      <c r="F7" s="55">
        <v>12</v>
      </c>
      <c r="G7" s="55">
        <v>13</v>
      </c>
      <c r="H7" s="55">
        <v>500</v>
      </c>
      <c r="I7" s="55">
        <v>0</v>
      </c>
      <c r="J7" s="55" t="s">
        <v>37</v>
      </c>
    </row>
    <row r="8" spans="1:10">
      <c r="A8" s="3">
        <v>2025021715</v>
      </c>
      <c r="B8" s="3">
        <v>202502171</v>
      </c>
      <c r="C8" s="56">
        <v>45713</v>
      </c>
      <c r="D8" s="55" t="s">
        <v>66</v>
      </c>
      <c r="E8" s="55" t="s">
        <v>59</v>
      </c>
      <c r="F8" s="55">
        <v>20</v>
      </c>
      <c r="G8" s="55">
        <v>25</v>
      </c>
      <c r="H8" s="55">
        <v>510</v>
      </c>
      <c r="I8" s="55">
        <v>1</v>
      </c>
      <c r="J8" s="55" t="s">
        <v>60</v>
      </c>
    </row>
    <row r="9" spans="1:10">
      <c r="A9" s="3">
        <v>2025021812</v>
      </c>
      <c r="B9" s="3">
        <v>202502181</v>
      </c>
      <c r="C9" s="56">
        <v>45712</v>
      </c>
      <c r="D9" s="55" t="s">
        <v>63</v>
      </c>
      <c r="E9" s="55" t="s">
        <v>61</v>
      </c>
      <c r="F9" s="55">
        <v>1</v>
      </c>
      <c r="G9" s="55">
        <v>1</v>
      </c>
      <c r="H9" s="55">
        <v>1</v>
      </c>
      <c r="I9" s="55">
        <v>1</v>
      </c>
      <c r="J9" s="55" t="s">
        <v>62</v>
      </c>
    </row>
    <row r="10" spans="1:10">
      <c r="A10" s="3">
        <v>2025022612</v>
      </c>
      <c r="B10" s="3">
        <v>202502261</v>
      </c>
      <c r="C10" s="56">
        <v>45714</v>
      </c>
      <c r="D10" s="55" t="s">
        <v>68</v>
      </c>
      <c r="E10" s="55" t="s">
        <v>51</v>
      </c>
      <c r="F10" s="55">
        <v>12</v>
      </c>
      <c r="G10" s="55">
        <v>1</v>
      </c>
      <c r="H10" s="55">
        <v>34</v>
      </c>
      <c r="I10" s="55">
        <v>1</v>
      </c>
      <c r="J10" s="55" t="s">
        <v>38</v>
      </c>
    </row>
    <row r="11" spans="1:10">
      <c r="A11" s="3">
        <v>2025021722</v>
      </c>
      <c r="B11" s="3">
        <v>202502172</v>
      </c>
      <c r="C11" s="56">
        <v>45714</v>
      </c>
    </row>
    <row r="18" spans="6:6">
      <c r="F18" s="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</vt:lpstr>
      <vt:lpstr>Analytics</vt:lpstr>
      <vt:lpstr>PatientInfo</vt:lpstr>
      <vt:lpstr>MedicalInfo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Vraj Bhatt</dc:creator>
  <cp:lastModifiedBy>Vraj Bhatt</cp:lastModifiedBy>
  <dcterms:created xsi:type="dcterms:W3CDTF">2025-02-16T20:51:39Z</dcterms:created>
  <dcterms:modified xsi:type="dcterms:W3CDTF">2025-03-01T23:03:14Z</dcterms:modified>
</cp:coreProperties>
</file>